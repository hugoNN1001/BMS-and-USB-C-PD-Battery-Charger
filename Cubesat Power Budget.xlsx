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MS\elec\power\"/>
    </mc:Choice>
  </mc:AlternateContent>
  <xr:revisionPtr revIDLastSave="0" documentId="13_ncr:1_{B968FD5F-D7F2-4291-96FF-72086701E9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H7" i="1"/>
  <c r="H9" i="1"/>
  <c r="H10" i="1"/>
  <c r="H11" i="1"/>
  <c r="H12" i="1"/>
  <c r="H8" i="1"/>
  <c r="G12" i="1"/>
  <c r="F12" i="1"/>
  <c r="I5" i="1"/>
  <c r="F5" i="1"/>
  <c r="H4" i="1"/>
  <c r="H5" i="1" l="1"/>
  <c r="G4" i="1"/>
  <c r="G5" i="1" s="1"/>
</calcChain>
</file>

<file path=xl/sharedStrings.xml><?xml version="1.0" encoding="utf-8"?>
<sst xmlns="http://schemas.openxmlformats.org/spreadsheetml/2006/main" count="82" uniqueCount="73">
  <si>
    <t>Subsystem</t>
  </si>
  <si>
    <t>Device</t>
  </si>
  <si>
    <t>Component</t>
  </si>
  <si>
    <t>Rail (V)</t>
  </si>
  <si>
    <t>Quantity</t>
  </si>
  <si>
    <t>Typ Current (mA)</t>
  </si>
  <si>
    <t>Max Current (mA)</t>
  </si>
  <si>
    <t>Ave Power (mW)</t>
  </si>
  <si>
    <t>Motor</t>
  </si>
  <si>
    <t>Number of Phases</t>
  </si>
  <si>
    <t>Phase Current (mA)</t>
  </si>
  <si>
    <t>Phase Resistant (Ω)</t>
  </si>
  <si>
    <t>Motor Total</t>
  </si>
  <si>
    <t>OBC</t>
  </si>
  <si>
    <t>MCU</t>
  </si>
  <si>
    <t>STM32G474RB</t>
  </si>
  <si>
    <t>Accelerometer</t>
  </si>
  <si>
    <t>H3LIS331DL</t>
  </si>
  <si>
    <t>ODR = 1000Hz</t>
  </si>
  <si>
    <t>Barometer</t>
  </si>
  <si>
    <t>BMP585</t>
  </si>
  <si>
    <t>Temp Sensor</t>
  </si>
  <si>
    <t>TMP1075D</t>
  </si>
  <si>
    <t>SCL freq = 400kHz (fast mode)</t>
  </si>
  <si>
    <t>Stepper Motor Driver</t>
  </si>
  <si>
    <t>OBC Total</t>
  </si>
  <si>
    <t>UV LCD Board</t>
  </si>
  <si>
    <t>Number of Cells:</t>
  </si>
  <si>
    <t>Cell Min Voltage:</t>
  </si>
  <si>
    <t>Note</t>
  </si>
  <si>
    <t>UV LCD Board  Total</t>
  </si>
  <si>
    <t>https://www.ti.com/lit/ds/symlink/tlc5940.pdf</t>
  </si>
  <si>
    <t>Dissipated Power (mW)</t>
  </si>
  <si>
    <t>LED Drivers &amp; LEDS</t>
  </si>
  <si>
    <t xml:space="preserve">Estimated current drawn for 2*16 LEDs </t>
  </si>
  <si>
    <t>add some redundency</t>
  </si>
  <si>
    <t>8A</t>
  </si>
  <si>
    <t>GNSS</t>
  </si>
  <si>
    <t>SAM-M10Q</t>
  </si>
  <si>
    <t>This is not accounting for dimming the LEDS</t>
  </si>
  <si>
    <t>https://www.littelfuse.com/media?resourcetype=datasheets&amp;itemid=75e32973-b177-4ee3-a0ff-cedaf1abdb93&amp;filename=smaj-datasheet</t>
  </si>
  <si>
    <t>TVS diode</t>
  </si>
  <si>
    <t>C364296</t>
  </si>
  <si>
    <t>C18195337</t>
  </si>
  <si>
    <t>C460742</t>
  </si>
  <si>
    <t>C77131</t>
  </si>
  <si>
    <t>sense resistor</t>
  </si>
  <si>
    <t>mouser</t>
  </si>
  <si>
    <t>604k</t>
  </si>
  <si>
    <t>C2484614</t>
  </si>
  <si>
    <t>450k</t>
  </si>
  <si>
    <t>C5159688</t>
  </si>
  <si>
    <t>low rds on</t>
  </si>
  <si>
    <t>vgs</t>
  </si>
  <si>
    <t>Id &gt; ~15A</t>
  </si>
  <si>
    <t>Vds &gt; 16.8V</t>
  </si>
  <si>
    <t>nmos</t>
  </si>
  <si>
    <t>C67862</t>
  </si>
  <si>
    <t>C7220642</t>
  </si>
  <si>
    <t>fuel gauge ic</t>
  </si>
  <si>
    <t>603-PA2512FKF7T0R004</t>
  </si>
  <si>
    <t>Yageo</t>
  </si>
  <si>
    <t>C49164684</t>
  </si>
  <si>
    <t>not in stock</t>
  </si>
  <si>
    <t>thermistor (0402)</t>
  </si>
  <si>
    <t>C511390</t>
  </si>
  <si>
    <t>thermister (thru-hole)</t>
  </si>
  <si>
    <t>470nF</t>
  </si>
  <si>
    <t>C92361</t>
  </si>
  <si>
    <t>D6</t>
  </si>
  <si>
    <t>D7: Zener - 16V</t>
  </si>
  <si>
    <t>D9</t>
  </si>
  <si>
    <t>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</si>
</sst>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292A2E"/>
      <name val="Arial"/>
      <scheme val="minor"/>
    </font>
    <font>
      <sz val="10"/>
      <color rgb="FF292A2E"/>
      <name val="&quot;Atlassian Sans&quot;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sz val="10"/>
      <color rgb="FF292A2E"/>
      <name val="Segoe UI"/>
      <family val="2"/>
    </font>
    <font>
      <sz val="10"/>
      <color rgb="FF333333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0" fillId="5" borderId="0" xfId="0" applyFill="1"/>
    <xf numFmtId="0" fontId="6" fillId="6" borderId="0" xfId="0" applyFont="1" applyFill="1"/>
    <xf numFmtId="0" fontId="5" fillId="6" borderId="0" xfId="0" applyFont="1" applyFill="1"/>
    <xf numFmtId="0" fontId="7" fillId="0" borderId="0" xfId="0" applyFont="1"/>
    <xf numFmtId="0" fontId="8" fillId="0" borderId="0" xfId="1"/>
    <xf numFmtId="9" fontId="1" fillId="0" borderId="0" xfId="0" applyNumberFormat="1" applyFont="1"/>
    <xf numFmtId="0" fontId="6" fillId="0" borderId="0" xfId="0" applyFont="1"/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3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ttelfuse.com/media?resourcetype=datasheets&amp;itemid=75e32973-b177-4ee3-a0ff-cedaf1abdb93&amp;filename=smaj-datasheet" TargetMode="External"/><Relationship Id="rId1" Type="http://schemas.openxmlformats.org/officeDocument/2006/relationships/hyperlink" Target="https://www.ti.com/lit/ds/symlink/tlc594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3"/>
  <sheetViews>
    <sheetView tabSelected="1" workbookViewId="0">
      <pane ySplit="1" topLeftCell="A22" activePane="bottomLeft" state="frozen"/>
      <selection pane="bottomLeft" activeCell="F34" sqref="F34"/>
    </sheetView>
  </sheetViews>
  <sheetFormatPr defaultColWidth="12.6640625" defaultRowHeight="15.75" customHeight="1"/>
  <cols>
    <col min="1" max="1" width="18" customWidth="1"/>
    <col min="2" max="2" width="18.33203125" customWidth="1"/>
    <col min="3" max="3" width="16.21875" customWidth="1"/>
    <col min="4" max="4" width="6.77734375" customWidth="1"/>
    <col min="5" max="5" width="17.109375" customWidth="1"/>
    <col min="6" max="6" width="17.88671875" customWidth="1"/>
    <col min="7" max="7" width="16" customWidth="1"/>
    <col min="8" max="8" width="20.5546875" customWidth="1"/>
    <col min="9" max="9" width="17" customWidth="1"/>
    <col min="10" max="10" width="37" customWidth="1"/>
  </cols>
  <sheetData>
    <row r="1" spans="1:26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7" t="s">
        <v>29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2">
      <c r="A2" s="1"/>
      <c r="E2" s="1"/>
    </row>
    <row r="3" spans="1:26" ht="13.2">
      <c r="A3" s="3" t="s">
        <v>8</v>
      </c>
      <c r="B3" s="1"/>
      <c r="C3" s="1"/>
      <c r="D3" s="1"/>
      <c r="E3" s="3" t="s">
        <v>9</v>
      </c>
      <c r="F3" s="3" t="s">
        <v>10</v>
      </c>
      <c r="G3" s="3" t="s">
        <v>6</v>
      </c>
      <c r="H3" s="3" t="s">
        <v>32</v>
      </c>
      <c r="I3" s="3" t="s">
        <v>11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2">
      <c r="E4" s="1">
        <v>2</v>
      </c>
      <c r="F4" s="1">
        <v>1400</v>
      </c>
      <c r="G4" s="1">
        <f>H4/(A27*A25)</f>
        <v>462.00000000000006</v>
      </c>
      <c r="H4" s="1">
        <f>(F4^2*I4)*10^-3</f>
        <v>5174.4000000000005</v>
      </c>
      <c r="I4" s="1">
        <v>2.64</v>
      </c>
    </row>
    <row r="5" spans="1:26" ht="13.2">
      <c r="A5" s="3" t="s">
        <v>12</v>
      </c>
      <c r="B5" s="1"/>
      <c r="C5" s="1"/>
      <c r="D5" s="1"/>
      <c r="E5" s="1"/>
      <c r="F5" s="4">
        <f>F4*E4</f>
        <v>2800</v>
      </c>
      <c r="G5" s="3">
        <f>G4*E4</f>
        <v>924.00000000000011</v>
      </c>
      <c r="H5" s="4">
        <f>H4*E4</f>
        <v>10348.800000000001</v>
      </c>
      <c r="I5" s="4">
        <f>I4*E4</f>
        <v>5.28</v>
      </c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2">
      <c r="A6" s="1" t="s">
        <v>13</v>
      </c>
    </row>
    <row r="7" spans="1:26" ht="13.2">
      <c r="B7" s="1" t="s">
        <v>14</v>
      </c>
      <c r="C7" s="5" t="s">
        <v>15</v>
      </c>
      <c r="D7" s="1">
        <v>3.3</v>
      </c>
      <c r="E7">
        <v>1</v>
      </c>
      <c r="H7">
        <f>D7*G7*E7</f>
        <v>0</v>
      </c>
    </row>
    <row r="8" spans="1:26" ht="13.2">
      <c r="B8" s="1" t="s">
        <v>16</v>
      </c>
      <c r="C8" s="6" t="s">
        <v>17</v>
      </c>
      <c r="D8" s="1">
        <v>3.3</v>
      </c>
      <c r="E8">
        <v>1</v>
      </c>
      <c r="F8" s="1">
        <v>0.37</v>
      </c>
      <c r="G8" s="1">
        <v>0.37</v>
      </c>
      <c r="H8">
        <f>D8*G8*E8</f>
        <v>1.2209999999999999</v>
      </c>
      <c r="J8" s="1" t="s">
        <v>18</v>
      </c>
    </row>
    <row r="9" spans="1:26" ht="13.2">
      <c r="B9" s="1" t="s">
        <v>19</v>
      </c>
      <c r="C9" s="5" t="s">
        <v>20</v>
      </c>
      <c r="D9" s="1">
        <v>3.3</v>
      </c>
      <c r="E9">
        <v>1</v>
      </c>
      <c r="F9" s="1">
        <v>0.08</v>
      </c>
      <c r="G9" s="1">
        <v>0.08</v>
      </c>
      <c r="H9">
        <f t="shared" ref="H9:H12" si="0">D9*G9*E9</f>
        <v>0.26400000000000001</v>
      </c>
    </row>
    <row r="10" spans="1:26" ht="13.2">
      <c r="B10" s="1" t="s">
        <v>21</v>
      </c>
      <c r="C10" s="5" t="s">
        <v>22</v>
      </c>
      <c r="D10" s="1">
        <v>3.3</v>
      </c>
      <c r="E10">
        <v>1</v>
      </c>
      <c r="F10" s="1">
        <v>0.01</v>
      </c>
      <c r="G10" s="1">
        <v>0.01</v>
      </c>
      <c r="H10">
        <f t="shared" si="0"/>
        <v>3.3000000000000002E-2</v>
      </c>
      <c r="J10" s="1" t="s">
        <v>23</v>
      </c>
    </row>
    <row r="11" spans="1:26" ht="13.2">
      <c r="B11" s="1" t="s">
        <v>24</v>
      </c>
      <c r="H11">
        <f t="shared" si="0"/>
        <v>0</v>
      </c>
    </row>
    <row r="12" spans="1:26" ht="15">
      <c r="B12" s="13" t="s">
        <v>37</v>
      </c>
      <c r="C12" s="14" t="s">
        <v>38</v>
      </c>
      <c r="D12" s="13">
        <v>3.3</v>
      </c>
      <c r="E12">
        <v>1</v>
      </c>
      <c r="F12">
        <f>13+1.3</f>
        <v>14.3</v>
      </c>
      <c r="G12">
        <f>13+1.3</f>
        <v>14.3</v>
      </c>
      <c r="H12">
        <f t="shared" si="0"/>
        <v>47.19</v>
      </c>
    </row>
    <row r="13" spans="1:26" ht="13.2">
      <c r="A13" s="1" t="s">
        <v>25</v>
      </c>
    </row>
    <row r="14" spans="1:26" ht="13.2">
      <c r="A14" s="8" t="s">
        <v>26</v>
      </c>
      <c r="B14" s="9"/>
      <c r="C14" s="9"/>
      <c r="D14" s="9"/>
      <c r="E14" s="9"/>
      <c r="F14" s="8"/>
      <c r="G14" s="8" t="s">
        <v>34</v>
      </c>
      <c r="H14" s="9"/>
      <c r="I14" s="8" t="s">
        <v>35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3.2">
      <c r="B15" s="10" t="s">
        <v>33</v>
      </c>
      <c r="D15" s="1"/>
      <c r="E15" s="1"/>
      <c r="F15" s="12"/>
      <c r="G15" s="13">
        <f>((4*16*0.7) * 2)/(14.8*0.8)</f>
        <v>7.5675675675675658</v>
      </c>
      <c r="I15" s="10" t="s">
        <v>36</v>
      </c>
      <c r="J15" s="11" t="s">
        <v>31</v>
      </c>
    </row>
    <row r="16" spans="1:26" ht="15.75" customHeight="1">
      <c r="J16" t="s">
        <v>39</v>
      </c>
    </row>
    <row r="17" spans="1:9" ht="15.75" customHeight="1">
      <c r="A17" s="10" t="s">
        <v>30</v>
      </c>
    </row>
    <row r="24" spans="1:9" ht="13.2">
      <c r="A24" s="1" t="s">
        <v>27</v>
      </c>
    </row>
    <row r="25" spans="1:9" ht="13.2">
      <c r="A25" s="1">
        <v>4</v>
      </c>
    </row>
    <row r="26" spans="1:9" ht="13.2">
      <c r="A26" s="1" t="s">
        <v>28</v>
      </c>
    </row>
    <row r="27" spans="1:9" ht="13.2">
      <c r="A27" s="1">
        <v>2.8</v>
      </c>
    </row>
    <row r="28" spans="1:9" ht="15.75" customHeight="1">
      <c r="E28" s="11" t="s">
        <v>40</v>
      </c>
    </row>
    <row r="29" spans="1:9" ht="15.75" customHeight="1">
      <c r="D29" t="s">
        <v>71</v>
      </c>
      <c r="E29" t="s">
        <v>41</v>
      </c>
      <c r="F29" t="s">
        <v>42</v>
      </c>
      <c r="G29" t="s">
        <v>63</v>
      </c>
    </row>
    <row r="30" spans="1:9" ht="15.75" customHeight="1">
      <c r="D30" t="s">
        <v>72</v>
      </c>
      <c r="E30" t="s">
        <v>70</v>
      </c>
      <c r="F30" t="s">
        <v>43</v>
      </c>
      <c r="G30" t="s">
        <v>63</v>
      </c>
    </row>
    <row r="31" spans="1:9" ht="15.75" customHeight="1">
      <c r="D31" t="s">
        <v>69</v>
      </c>
      <c r="E31" t="s">
        <v>69</v>
      </c>
      <c r="F31" t="s">
        <v>44</v>
      </c>
    </row>
    <row r="32" spans="1:9" ht="15.75" customHeight="1">
      <c r="E32" t="s">
        <v>64</v>
      </c>
      <c r="F32" t="s">
        <v>45</v>
      </c>
      <c r="G32" t="s">
        <v>66</v>
      </c>
      <c r="H32" t="s">
        <v>65</v>
      </c>
      <c r="I32" t="s">
        <v>63</v>
      </c>
    </row>
    <row r="33" spans="5:11" ht="15.75" customHeight="1">
      <c r="E33" t="s">
        <v>46</v>
      </c>
      <c r="F33" t="s">
        <v>62</v>
      </c>
      <c r="G33" t="s">
        <v>63</v>
      </c>
      <c r="H33" s="15"/>
      <c r="I33" s="10" t="s">
        <v>47</v>
      </c>
      <c r="J33" s="15" t="s">
        <v>61</v>
      </c>
      <c r="K33" s="15" t="s">
        <v>60</v>
      </c>
    </row>
    <row r="34" spans="5:11" ht="15.75" customHeight="1">
      <c r="E34" s="10" t="s">
        <v>48</v>
      </c>
      <c r="F34" t="s">
        <v>49</v>
      </c>
      <c r="G34" t="s">
        <v>63</v>
      </c>
    </row>
    <row r="35" spans="5:11" ht="15.75" customHeight="1">
      <c r="E35" s="10" t="s">
        <v>50</v>
      </c>
      <c r="F35" t="s">
        <v>51</v>
      </c>
      <c r="G35" t="s">
        <v>63</v>
      </c>
    </row>
    <row r="36" spans="5:11" ht="15.75" customHeight="1">
      <c r="E36" t="s">
        <v>56</v>
      </c>
      <c r="F36" t="s">
        <v>57</v>
      </c>
    </row>
    <row r="37" spans="5:11" ht="15.75" customHeight="1">
      <c r="E37" s="10" t="s">
        <v>52</v>
      </c>
    </row>
    <row r="38" spans="5:11" ht="15.75" customHeight="1">
      <c r="E38" s="10" t="s">
        <v>53</v>
      </c>
    </row>
    <row r="39" spans="5:11" ht="15.75" customHeight="1">
      <c r="E39" s="10" t="s">
        <v>54</v>
      </c>
    </row>
    <row r="40" spans="5:11" ht="15.75" customHeight="1">
      <c r="E40" s="10" t="s">
        <v>55</v>
      </c>
    </row>
    <row r="41" spans="5:11" ht="15.75" customHeight="1">
      <c r="E41" s="10" t="s">
        <v>59</v>
      </c>
      <c r="F41" t="s">
        <v>58</v>
      </c>
      <c r="G41" t="s">
        <v>63</v>
      </c>
    </row>
    <row r="42" spans="5:11" ht="15.75" customHeight="1">
      <c r="E42" s="10" t="s">
        <v>67</v>
      </c>
      <c r="F42" t="s">
        <v>68</v>
      </c>
      <c r="G42" t="s">
        <v>63</v>
      </c>
    </row>
    <row r="43" spans="5:11" ht="15.75" customHeight="1">
      <c r="E43" s="10"/>
    </row>
  </sheetData>
  <conditionalFormatting sqref="A3:E3 G3 J3:Z3">
    <cfRule type="containsBlanks" dxfId="2" priority="1">
      <formula>LEN(TRIM(A3))=0</formula>
    </cfRule>
  </conditionalFormatting>
  <conditionalFormatting sqref="A1:Z1">
    <cfRule type="notContainsBlanks" dxfId="1" priority="3">
      <formula>LEN(TRIM(A1))&gt;0</formula>
    </cfRule>
  </conditionalFormatting>
  <conditionalFormatting sqref="B5:Z5">
    <cfRule type="containsBlanks" dxfId="0" priority="2">
      <formula>LEN(TRIM(B5))=0</formula>
    </cfRule>
  </conditionalFormatting>
  <hyperlinks>
    <hyperlink ref="J15" r:id="rId1" xr:uid="{EE3D24E7-D4AB-4EEE-BAAC-B6359AB2B70B}"/>
    <hyperlink ref="E28" r:id="rId2" xr:uid="{8CEB471F-749C-40AF-BF1B-D76655A25F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Nhân Nguyễn</cp:lastModifiedBy>
  <dcterms:modified xsi:type="dcterms:W3CDTF">2026-06-06T08:44:52Z</dcterms:modified>
</cp:coreProperties>
</file>